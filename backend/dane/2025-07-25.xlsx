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workbook>
</file>

<file path=xl/sharedStrings.xml><?xml version="1.0" encoding="utf-8"?>
<sst xmlns="http://schemas.openxmlformats.org/spreadsheetml/2006/main" count="229" uniqueCount="177">
  <si>
    <t>Raport dla firmy:</t>
  </si>
  <si>
    <t>Copy Plus Andrzej Mazgała</t>
  </si>
  <si>
    <t>Numer klienta:</t>
  </si>
  <si>
    <t>424750</t>
  </si>
  <si>
    <t>Dodanych ogłoszeń:</t>
  </si>
  <si>
    <t>3566</t>
  </si>
  <si>
    <t>Dodanych wyników przetargów:</t>
  </si>
  <si>
    <t>872</t>
  </si>
  <si>
    <t>W przypadku problemów z odczytem raportu wyświetl wersję online</t>
  </si>
  <si>
    <t>Przetargów spełniających Twoje kryteria:</t>
  </si>
  <si>
    <t>5</t>
  </si>
  <si>
    <t>Wyników przetargów spełniających Twoje kryteria:</t>
  </si>
  <si>
    <t>2</t>
  </si>
  <si>
    <t>Lista ogłoszeń spełniających Twoje kryteria:</t>
  </si>
  <si>
    <t>ID</t>
  </si>
  <si>
    <t>Link</t>
  </si>
  <si>
    <t>Data dodania</t>
  </si>
  <si>
    <t>Kategoria</t>
  </si>
  <si>
    <t>Forma</t>
  </si>
  <si>
    <t>Przedmiot</t>
  </si>
  <si>
    <t>Organizator</t>
  </si>
  <si>
    <t>Miasto</t>
  </si>
  <si>
    <t>Ulica</t>
  </si>
  <si>
    <t>Województwo</t>
  </si>
  <si>
    <t>Powiat</t>
  </si>
  <si>
    <t>Państwo</t>
  </si>
  <si>
    <t>Telefon / fax</t>
  </si>
  <si>
    <t>E-mail</t>
  </si>
  <si>
    <t>Strona WWW</t>
  </si>
  <si>
    <t>Opis</t>
  </si>
  <si>
    <t>Specyfikacja</t>
  </si>
  <si>
    <t>Miejsce i termin składania</t>
  </si>
  <si>
    <t>Termin składania</t>
  </si>
  <si>
    <t>Otwarcie</t>
  </si>
  <si>
    <t>Miejsce i termin realizacji</t>
  </si>
  <si>
    <t>Wadium</t>
  </si>
  <si>
    <t>Wadium liczbowo</t>
  </si>
  <si>
    <t>Wymagania</t>
  </si>
  <si>
    <t>Uwagi</t>
  </si>
  <si>
    <t>Kontakt</t>
  </si>
  <si>
    <t>Język kontaktu</t>
  </si>
  <si>
    <t>Kod CPV</t>
  </si>
  <si>
    <t>Numer dokumentu</t>
  </si>
  <si>
    <t>Źródło</t>
  </si>
  <si>
    <t>Załączniki</t>
  </si>
  <si>
    <t>NIP</t>
  </si>
  <si>
    <t>29909500</t>
  </si>
  <si>
    <t>2025-07-24</t>
  </si>
  <si>
    <t>przetarg</t>
  </si>
  <si>
    <t>Wielofunkcyjne urządzenia drukujące z obsługą uniFLOW</t>
  </si>
  <si>
    <t>Spółka Akcyjna ,,UKRNAFTA"</t>
  </si>
  <si>
    <t>04053 miasto Kijów</t>
  </si>
  <si>
    <t>zaułek Nestorowski, budynek 3-5</t>
  </si>
  <si>
    <t>Ukraina</t>
  </si>
  <si>
    <t>380636448846</t>
  </si>
  <si>
    <t>oleksandr.petrenko2@ukrnafta.com</t>
  </si>
  <si>
    <t>https://prozorro.gov.ua/uk/tender/UA-2025-07-22-009379-a</t>
  </si>
  <si>
    <t>Przedmiot zamówienia
Wielofunkcyjne urządzenia drukujące z obsługą uniFLOW
 Oczekiwany koszt
990 900,00 UAH</t>
  </si>
  <si>
    <t>TERMIN SKŁADANIA ofert
31 lipca 2025, 10:00</t>
  </si>
  <si>
    <t>2025-07-31</t>
  </si>
  <si>
    <t>Miejsce i termin realizacji zamówienia
Zgodnie z dokumentacją</t>
  </si>
  <si>
    <t>Osoba do kontaktu
Ołeksandr Petrenko
380636448846
oleksandr.petrenko2@ukrnafta.com</t>
  </si>
  <si>
    <t>ukraiński</t>
  </si>
  <si>
    <t>30230000-0</t>
  </si>
  <si>
    <t>UA-2025-07-22-009379-a</t>
  </si>
  <si>
    <t>Internet i własne</t>
  </si>
  <si>
    <t>29909587</t>
  </si>
  <si>
    <t>Usługi bieżącego remontu i konserwacji urządzeń kopiujących oraz drukarek</t>
  </si>
  <si>
    <t>Państwowa Służba Podatkowa Ukrainy</t>
  </si>
  <si>
    <t>plac Lwowski, budynek 8</t>
  </si>
  <si>
    <t>+380444814869</t>
  </si>
  <si>
    <t>zakupivli-DPS@tax.gov.ua</t>
  </si>
  <si>
    <t>https://prozorro.gov.ua/uk/tender/UA-2025-07-22-006471-a</t>
  </si>
  <si>
    <t>Przedmiot zamówienia
Usługi bieżącego remontu i konserwacji urządzeń kopiujących oraz drukarek
 Oczekiwany koszt
841?312,33 UAH</t>
  </si>
  <si>
    <t>TERMIN SKŁADANIA ofert
30 lipca 2025, 00:00</t>
  </si>
  <si>
    <t>2025-07-30</t>
  </si>
  <si>
    <t>Osoba do kontaktu
Pawło Petrowycz Bulanyj
+380444814869
zakupivli-DPS@tax.gov.ua</t>
  </si>
  <si>
    <t>50310000-1</t>
  </si>
  <si>
    <t>UA-2025-07-22-006471-a</t>
  </si>
  <si>
    <t>29910323</t>
  </si>
  <si>
    <t>zapytanie ofertowe</t>
  </si>
  <si>
    <t>Dostawa oprogramowania, sprzętu audio video, komputerowego, elektronicznego, biurowego i telekomunikacyjnego</t>
  </si>
  <si>
    <t>Polka Travel 1</t>
  </si>
  <si>
    <t>25-018 Kielce</t>
  </si>
  <si>
    <t>Żytnia 10</t>
  </si>
  <si>
    <t>świętokrzyskie</t>
  </si>
  <si>
    <t>Kielce</t>
  </si>
  <si>
    <t>Polska</t>
  </si>
  <si>
    <t>791966686</t>
  </si>
  <si>
    <t>tomasz@polkatravel.pl</t>
  </si>
  <si>
    <t>https://bazakonkurencyjnosci.funduszeeuropejskie.gov.pl/ogloszenia/238402</t>
  </si>
  <si>
    <t>DOSTAWA oprogramowania, sprzętu audio video, komputerowego, elektronicznego, biurowego i telekomunikacyjnego (drony, krótkofalówki, laptopy, tablety, drukarka, laminator, program licencyjny, zestaw do nagrywania podcastów).
Powstaje w kontekście projektu
KPOD.01.03-IW.01-6170/24 - Dywersyfikacja działalności Polka Travel 1 w województwie świętokrzyskim, poprzez inwestycje w bazę usługową, podnoszenie kwalifikacji pracowników poprzez szkolenia oraz wdrożenie usł. (...)
Część 1
Zgodnie z zapytaniem ofertowym 3/2025
Przedmioty zamówienia
DOSTAWA
Dostawy inne
Opis
DOSTAWA oprogramowania, sprzętu audio video, komputerowego, elektronicznego, biurowego i telekomunikacyjnego (drony, krótkofalówki, laptopy, tablety, drukarka, laminator, program licencyjny, zestaw do nagrywania podcastów).
Szczegółowy opis przedmiotu zamówienia został zawarty w Załączniku nr 1 - Opis przedmiotu zamówienia, który stanowi integralną część niniejszego zapytania ofertowego.
Stan: całość sprzętu musi być fabrycznie nowa.
1.7. Równoważność: jeżeli w jakimkolwiek miejscu opisu przedmiotu zamówienia, zostały wskazane nazwy producenta, nazwy własne, znaki towarowe, patenty lub pochodzenie materiałów czy urządzeń służących do wykonania niniejszego zamówienia, które wskazują lub mogłyby wskazywać na konkretnego producenta, nie stanowi to preferowania wyboru czy materiałów danego producenta, lecz ma na celu wskazanie na cechy - parametry techniczne i jakościowe nie gorsze od podanych w opisie. Zamawiający dopuszcza w takim przypadku składanie ofert równoważnych z zastosowaniem innych materiałów czy urządzeń służących do wykonania niniejszego zamówienia, pod warunkiem, że zagwarantują one uzyskanie parametrów technicznych, eksploatacyjnych i jakościowych nie gorszych od założonych. Wykonawca, który powołuje się na rozwiązania równoważne jest obowiązany wykazać, że oferowane przez niego urządzenia spełniają określone przez Zamawiającego wymagania. Ciężar udowodnienia, że wyrób jest równoważny w stosunku do założeń określanych przez Zamawiającego spoczywa na składającym ofertę.
Z UWAGI NA SZTYWNY ZAKRES PÓL W NINIEJSZYM OGŁOSZENIU I BRAK MOŻLIWOŚCI
DODAWANIA INNYCH ISTOTNYCH PÓL, NALEŻY SIĘ OBLIGATORYJNIE ZAPOZNAĆ Z PEŁNĄ
TREŚCIĄ ZAPYTANIA OFERTOWEGO NR 3/2025 STANOWIĄCEGO ZAŁĄCZNIK DO NINIEJSZEGO
OGŁOSZENIA
Okres gwarancji
Zgodnie z zapytaniem ofertowym</t>
  </si>
  <si>
    <t>TERMIN SKŁADANIA ofert
2025-07-31</t>
  </si>
  <si>
    <t>Planowany termin podpisania umowy
2025-08
Miejsca realizacji
adres
Kraj
Polska
Województwo
świętokrzyskie
Powiat
Kielce
Gmina
Kielce
Miejscowość
Kielce</t>
  </si>
  <si>
    <t>Zamówienia uzupełniające
Wykonawcy, którego oferta została wybrana w postępowaniu wynikającym z warunków niniejszego zapytania ofertowego, mogą być udzielane zamówienia uzupełniające, w wysokości nieprzekraczającej 50% wartości zamówienia podstawowego, określonego w umowie zawartej z Wykonawcą, o ile te zamówienia są zgodne z Przedmiotem Zamówienia.
Warunki zmiany umowy
Zamawiający zastrzega sobie możliwość dokonania zmiany umowy zawartej w wyniku przeprowadzenia Zapytania Ofertowego, w następujących przypadkach:
6.1. w wyniku zaistnienia przyczyn, niezależnych od Zamawiającego przy dochowaniu przez niego należytej staranności, skutkujących niemożliwością lub znacznymi opóźnieniami w realizacji zamówienia, np. w sytuacji wystąpienia siły wyższej, uniemożliwiającej wykonanie przedmiotu zamówienia w terminach określonych w umowie, jeżeli wartość zmian nie przekracza 50% zamówienia.
,,Siła wyższa" oznacza wydarzenia zewnętrzne, nieprzewidywalne, nieoczekiwane i poza kontrolą Stron, występujące po podpisaniu Umowy, a powodujące niemożliwość wywiązania się z Umowy,
6.2. gdy zmiany dotyczą realizacji dodatkowych dostaw, usług lub robót budowlanych od dotychczasowego wykonawcy, nieobjętych zamówieniem podstawowym, o ile stały się niezbędne i zostały spełnione łącznie następujące warunki:
6.2.1. zmiana wykonawcy nie może zostać dokonana z powodów ekonomicznych lub technicznych, w szczególności dotyczących zamienności lub interoperacyjności sprzętu, usług lub instalacji, zamówionych w ramach zamówienia podstawowego,
6.2.2. zmiana wykonawcy spowodowałaby istotną niedogodność lub znaczne zwiększenie kosztów dla zamawiającego,
6.2.3. wartość każdej kolejnej zmiany nie przekracza 50% wartości zamówienia określonej pierwotnie w umowie;
6.3. gdy zmiana nie prowadzi do zmiany charakteru umowy i zostały spełnione łącznie następujące warunki:
6.3.1. konieczność zmiany umowy spowodowana jest okolicznościami, których zamawiający, działając z należytą starannością, nie mógł przewidzieć,
6.3.2. wartość zmiany nie przekracza 50% wartości zamówienia określonej pierwotnie w umowie,
6.4. gdy wykonawcę, któremu zamawiający udzielił zamówienia, ma zastąpić nowy wykonawca:
6.4.1. na podstawie postanowień umownych,
6.4.2. w wyniku połączenia, podziału, przekształcenia, upadłości, restrukturyzacji lub nabycia dotychczasowego wykonawcy lub jego przedsiębiorstwa, o ile nowy wykonawca spełnia warunki udziału w postępowaniu o udzielenie zamówienia, nie zachodzą wobec niego podstawy wykluczenia oraz nie pociąga to za sobą innych istotnych zmian umowy,
6.4.3. w wyniku przejęcia przez zamawiającego zobowiązań wykonawcy względem jego podwykonawców. W przypadku zmiany podwykonawcy, zamawiający może zawrzeć umowę z nowym podwykonawcą bez zmiany warunków realizacji zamówienia z uwzględnieniem dokonanych płatności z tytułu dotychczas zrealizowanych prac.
6.5. w przypadku powstania rozbieżności lub niejasności w rozumieniu pojęć użytych w umowie, których nie będzie można usunąć w inny sposób, a zmiana będzie umożliwiać usunięcie rozbieżności i doprecyzowanie umowy w celu jednoznacznej interpretacji jej postanowień przez strony, przy jednoczesnym braku zmiany charakteru umowy;
6.6. gdy zmiana nie prowadzi do zmiany ogólnego charakteru umowy i łączna wartość zamówienia jest mniejsza niż progi unijne oraz jest niższa niż 10% wartości pierwotnej umowy, w przypadku zamówień na usługi lub dostawy, albo 15%, w przypadku zamówień na roboty budowlane;
6.7. w przypadku zmian powszechnie obowiązujących przepisów prawa w zakresie mającym wpływ na realizację umowy,
6.8. w przypadku zmian w harmonogramie realizacji projektu, w szczególności w przypadku wystąpienia konieczności wydłużenia/przesunięcia terminów realizacji poszczególnych zadań i etapów, spowodowana obiektywnymi czynnikami, niezależnymi od Zamawiającego i Wykonawcy, uniemożliwiającymi realizację zamówienia w pierwotnie określonych terminach, mającymi wpływ na jakość realizacji przedmiotu umowy.
Czy dopuszczalna oferta częściowa?
NIE
Warunki, jakie musi spełniać oferent
Typ
Uprawnienia do wykonywania określonej działalności lub czynności
Opis
2.3. Posiadanie uprawnień do wykonywania określonej działalności lub czynności, jeżeli przepisy prawa nakładają obowiązek ich posiadania (spełnienie warunku będzie potwierdzone poprzez złożenie podpisu na formularzu ofertowym, którego elementem jest niniejsze oświadczenie).
Typ
Wiedza i doświadczenie
Opis
2.4. Posiadanie niezbędnej wiedzy i doświadczenia do wykonania zamówienia lub zagwarantowanie podwykonawców posiadających niezbędną wiedzę i doświadczenie do wykonania zamówienia. (spełnienie warunku będzie potwierdzone poprzez złożenie podpisu na formularzu ofertowym, którego elementem jest niniejsze oświadczenie).
Typ
Potencjał techniczny
Opis
2.5. Dysponowanie odpowiednim potencjałem technicznym do wykonania zamówienia lub zagwarantowanie podwykonawców dysponujących odpowiednim potencjałem technicznym do wykonania zamówienia (spełnienie warunku będzie potwierdzone poprzez złożenie podpisu na formularzu ofertowym, którego elementem jest niniejsze oświadczenie).
Typ
Osoby zdolne do wykonania zamówienia
Opis
2.6. Dysponowanie zasobami ludzkimi zdolnymi do wykonania zamówienia lub zagwarantowanie podwykonawców dysponujących zasobami ludzkimi zdolnymi do wykonania zamówienia (spełnienie warunku będzie potwierdzone poprzez złożenie podpisu na formularzu ofertowym, którego elementem jest niniejsze oświadczenie).
Typ
Sytuacja ekonomiczna i finansowa
Opis
2.7. Znajdowanie się w sytuacji ekonomicznej i finansowej zapewniającej wykonanie zamówienia we wskazanym terminie (spełnienie warunku będzie potwierdzone poprzez złożenie podpisu na formularzu ofertowym, którego elementem jest niniejsze oświadczenie).
Typ
Dodatkowe warunki udziału
Opis
Do postępowania zostaną dopuszczeni wykonawcy spełniający opisane poniżej warunki:
2.1. Złożenie kompletnej oferty obowiązkowo na formularzu ofertowym stanowiącym załącznik nr 2 do niniejszego zapytania w sposób i w terminie zgodnym z wymaganiami opisanymi w niniejszym zapytaniu.
2.2. Brak istnienia następujących podstaw wykluczenia z postępowania:
2.2.1. W postępowaniu o udzielenie zamówienia obowiązuje zakaz konfliktu interesów. Konflikt interesów oznacza każdą sytuację, w której osoby biorące udział w przygotowaniu lub prowadzeniu postępowania o udzielenie zamówienia lub mogące wpłynąć na wynik tego postępowania mają, bezpośrednio lub pośrednio, interes finansowy, ekonomiczny lub inny interes osobisty, który postrzegać można jako zagrażający ich bezstronności i niezależności w związku z postępowaniem o udzielenie zamówienia.
2.2.2. W celu usunięcia konfliktu interesów zamówienie nie może być udzielone podmiotom powiązanym z Zamawiającym osobowo i kapitałowo. Zgodnie z zasadą konkurencyjności opisaną w "Wytycznych dotyczących kwalifikowalności wydatków na lata 2021-2027" przez powiązania osobowe lub kapitałowe rozumie się wzajemne powiązania między Zamawiającym lub osobami upoważnionymi do zaciągania zobowiązań w imieniu Zamawiającego lub osobami wykonującymi w imieniu Zamawiającego czynności związane z przygotowaniem i przeprowadzeniem procedury wyboru Wykonawcy a Zamawiającym, polegające w szczególności na:
2.2.2.1. uczestniczeniu w spółce jako wspólnik spółki cywilnej lub spółki osobowej;
2.2.2.2. posiadaniu co najmniej 10% udziałów lub akcji (o ile niższy próg nie wynika z przepisów prawa);
2.2.2.3. pełnieniu funkcji członka organu nadzorczego lub zarządzającego, prokurenta, pełnomocnika;
2.2.2.4. pozostawaniu w związku małżeńskim, w stosunku pokrewieństwa lub powinowactwa w linii prostej, pokrewieństwa lub powinowactwa w linii bocznej do drugiego stopnia, lub związanie z tytułu przysposobienia, opieki lub kurateli albo pozostawanie we wspólnym
pożyciu z wykonawcą, jego zastępcą prawnym lub członkami organów zarządzających lub organów nadzorczych wykonawców ubiegających się o udzielenie zamówienia;
2.2.2.5. pozostawaniu z wykonawcą w takim stosunku prawnym lub faktycznym, że istnieje uzasadniona wątpliwość co do ich bezstronności lub niezależności w związku z postępowaniem o udzielenie zamówienia.
2.2.3. Brak podlegania wykluczeniu z postępowania na podstawie art. 5k rozporządzenia Rady (UE) nr 833/2014 z dnia 31 lipca 2014 r. dotyczącego środków ograniczających w związku z działaniami Rosji destabilizującymi sytuację na Ukrainie (Dz. Urz. UE nr L 229 z 31.7.2014, str. 1; dalej: rozporządzenie 833/2014), w brzmieniu nadanym rozporządzeniem Rady (UE) 2022/576 w sprawie zmiany rozporządzenia (UE) nr 833/2014 dotyczącego środków ograniczających w związku z działaniami Rosji destabilizującymi sytuację na Ukrainie (Dz. Urz. UE nr L 111 z 8.4.2022, str. 1; dalej: rozporządzenie 2022/576);
2.2.4. Brak podlegania wykluczeniu z postępowania na podstawie art. 7 ust. 1 ustawy z dnia 13 kwietnia 2022 r. (dalej: "ustawa") o szczególnych rozwiązaniach w zakresie przeciwdziałania wspieraniu agresji na Ukrainę oraz służących ochronie bezpieczeństwa narodowego (Dz. U. poz. 835). Na podstawie powyższej ustawy z postępowania o udzielenie zamówienia publicznego wyklucza się:
2.2.4.1. wykonawcę wymienionego w wykazach określonych w rozporządzeniu 765/2006 i rozporządzeniu 269/2014 albo wpisanego na listę na podstawie decyzji w sprawie wpisu na listę rozstrzygającej o zastosowaniu środka, o którym mowa w art. 1 pkt 3 ustawy;
2.2.4.2. wykonawcę, którego beneficjentem rzeczywistym w rozumieniu ustawy z dnia 1 marca 2018 r. o przeciwdziałaniu praniu pieniędzy oraz finansowaniu terroryzmu (Dz. U. 2023 poz. 1124)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 ustawy;
2.2.4.3. wykonawcę, którego jednostką dominującą w rozumieniu art. 3 ust. 1 pkt 37 ustawy z dnia 29 września 1</t>
  </si>
  <si>
    <t>Data opublikowania ogłoszenia
2025-07-23
Data ostatniej zmiany
2025-07-23 23:53:53
Kryteria oceny
Czy kryterium cenowe
TAK
Opis
Ze względu na ograniczoną liczbę znaków w niniejszym polu pełen opis kryteriów oceny wraz ze sposobem
przyznawania punktów znajduje się w załączniku Zapytanie ofertowe 3/2025</t>
  </si>
  <si>
    <t>Osoby do kontaktu
Tomasz Słoń
tel.: 791966686
e-mail: tomasz@polkatravel.pl</t>
  </si>
  <si>
    <t>polski</t>
  </si>
  <si>
    <t>30213100-6, 30213200-7, 30232110-8, 32237000-3, 32341000-5, 35613000-4, 38650000-6, 42994230-1, 48000000-8</t>
  </si>
  <si>
    <t>2025-95183-238402, 3/2025</t>
  </si>
  <si>
    <t>PL9591771655</t>
  </si>
  <si>
    <t>29912597</t>
  </si>
  <si>
    <t>nieograniczony</t>
  </si>
  <si>
    <t>Dostawa infrastruktury do rekonstrukcji detali obiektów dziedzictwa - drukarki 3D</t>
  </si>
  <si>
    <t>Akademia Górniczo-Hutnicza im. Stanisława Staszica w Krakowie</t>
  </si>
  <si>
    <t>30-059 Kraków</t>
  </si>
  <si>
    <t>Al. Mickiewicza 30</t>
  </si>
  <si>
    <t>małopolskie</t>
  </si>
  <si>
    <t>Kraków</t>
  </si>
  <si>
    <t>Telefon: +48 126173595</t>
  </si>
  <si>
    <t>dzp@agh.edu.pl</t>
  </si>
  <si>
    <t>DOSTAWA infrastruktury do rekonstrukcji detali obiektów dziedzictwa - drukarki 3D - DE-dzp.272-421/25
DOSTAWA infrastruktury do rekonstrukcji detali obiektów dziedzictwa - drukarki 3D - opis zgodnie z wymaganiami opisanymi w pkt 4.1 SWZ
Część zamówienia: LOT-0001
Tytuł: DOSTAWA infrastruktury do rekonstrukcji detali obiektów dziedzictwa - drukarki 3D - DE-dzp.272-421/25
Opis: DOSTAWA infrastruktury do rekonstrukcji detali obiektów dziedzictwa - drukarki 3D - zgodnie z opisem w pkt 4.1 SWZ. Termin realizacji do 20 tygodni od daty otrzymania zamówienia potwierdzonego przez MNiSW. Termin realizacji stanowi kryterium oceny ofert.
Wewnętrzny identyfikator: DE-dzp.272-421/25
Główna klasyfikacja (cpv): 30232100 Drukarki i plotery</t>
  </si>
  <si>
    <t>Dokumenty zamówienia
Kryterium: Referencje dotyczące określonych dostaw
Opis: Zdolność techniczna i zawodowa O udzielenie zamówienia mogą ubiegać się Wykonawcy, którzy wykażą, iż posiadają niezbędną wiedzę i doświadczenie tj.: w okresie ostatnich 3 lat przed upływem terminu składania ofert o udzielenie zamówienia, a jeżeli okres prowadzenia działalności jest krótszy, w tym okresie - należycie wykonali co najmniej 1 zamówienie, polegające na dostawie drukarki 3D do druku, o wartości nie mniejszej niż 450 000,00 zł netto, z podaniem jego wartości, przedmiotu, dat wykonania i podmiotu, na rzecz którego dostawa została wykonana, oraz załączeniem dowodów, czy została wykonana należycie. W przypadku wykonawców, którzy realizowali dostawy za wynagrodzeniem wyrażonym w innych walutach niż złoty polski, zamawiający przeliczy wartość tych dostaw po średnim kursie NBP z dnia ukazania się ogłoszenia o zamówieniu.
Dokumenty zamówienia
Języki, w których dokumenty zamówienia są oficjalnie dostępne: polski
Adres dokumentów zamówienia: www.dzp.agh.edu.pl
Kanał komunikacji ad hoc:
Nazwa: https://e-propublico.pl</t>
  </si>
  <si>
    <t>TERMIN SKŁADANIA ofert: 25/08/2025 10:00:00 (UTC+2) czas wschodnioeuropejski, czas środkowoeuropejski letni
Termin, do którego oferta musi pozostać ważna: 90 Dni</t>
  </si>
  <si>
    <t>2025-08-25</t>
  </si>
  <si>
    <t>Informacje na temat publicznego otwarcia:
Data otwarcia: 25/08/2025 11:00:00 (UTC+2) czas wschodnioeuropejski, czas środkowoeuropejski letni
Miejsce: Otwarcie ofert odbędzie się za pośrednictwem platformy: https://e-propublico.pl</t>
  </si>
  <si>
    <t>Miejsce realizacji
Adres pocztowy: Al. Mickiewicza 30
Miejscowość: Kraków
Kod pocztowy: 30-059
Podpodział krajowy (NUTS): Miasto Kraków (PL213)
Kraj: Polska
Szacowany okres obowiązywania
Okres obowiązywania: 20 Tygodnie</t>
  </si>
  <si>
    <t>dostępne w oryginalnej treści ogłoszenia i/lub w załącznikach</t>
  </si>
  <si>
    <t>Oficjalna nazwa: Akademia Górniczo-Hutnicza im. Stanisława Staszica w Krakowie
Numer rejestracyjny: 6750001923
Adres pocztowy: Al. Mickiewicza 30
Miejscowość: Kraków
Kod pocztowy: 30-059
Podpodział krajowy (NUTS): Miasto Kraków (PL213)
Kraj: Polska
Punkt kontaktowy: Dział Zamówień Publicznych
E-mail: dzp@agh.edu.pl
Telefon: +48 126173595
Adres strony internetowej: www.dzp.agh.edu.pl
Adres na potrzeby wymiany informacji (URL): www.dzp.agh.edu.pl
Role tej organizacji:
Nabywca
Organizacja przyjmująca wnioski o dopuszczenie do udziału
Organizacja rozpatrująca oferty</t>
  </si>
  <si>
    <t>30232100</t>
  </si>
  <si>
    <t>484379-2025, DE-dzp.272-421/25</t>
  </si>
  <si>
    <t>Internet i własne - TED - 140/2025</t>
  </si>
  <si>
    <t>PL6750001923</t>
  </si>
  <si>
    <t>29914608</t>
  </si>
  <si>
    <t>tryb podstawowy</t>
  </si>
  <si>
    <t>Dostawa sprzętu komputerowego wraz z oprogramowaniem, drukarek, kserokopiarek i niszczarek, serwera, plotera i skanera"</t>
  </si>
  <si>
    <t>POWIAT LIMANOWSKI</t>
  </si>
  <si>
    <t>34-600 Limanowa</t>
  </si>
  <si>
    <t>ul. Józefa Marka 9</t>
  </si>
  <si>
    <t>limanowski</t>
  </si>
  <si>
    <t>183337800, faks 183337880</t>
  </si>
  <si>
    <t>zamowienia@powiat.limanowski.pl</t>
  </si>
  <si>
    <t>,,DOSTAWA sprzętu komputerowego wraz z oprogramowaniem, drukarek, kserokopiarek i niszczarek, serwera, plotera i skanera".
Krótki opis przedmiotu zamówienia
Zadanie częściowe nr 1: ,,DOSTAWA sprzętu komputerowego
wraz z oprogramowaniem oraz drukarek".
1. Przedmiotem zamówienia jest dostawa do siedziby Zamawiającego fabrycznie nowego, kompletnego, nieużywanego, wolnego od wad fizycznych oraz gotowego do pracy zgodnie z przeznaczeniem sprzętu komputerowego wraz z oprogramowaniem oraz drukarek.
2. Zamówienie obejmuje dostawę:
a) Komputer stacjonarny A - 10 szt.,
b) Komputer stacjonarny B - 7 szt.,
c) Komputer do obsługi systemu kolejkowego - 3 szt.,
d) Komputer przenośny - 3 szt.,
e) Monitor LCD do stacji roboczej - 19 szt.,
f) Drukarka monochromatyczna A4 - 3 szt.
3. Oferowane i dostarczone urządzenia muszą spełniać wszystkie wymagania techniczne i parametry określone w Szczegółowym opisie przedmiotu zamówienia stanowiącym załącznik nr 5 do SWZ. Zamówienie obejmie również: transport, rozładunek, wniesienie do wskazanych przez Zamawiającego pomieszczeń oraz ubezpieczenie przedmiotu dostawy.
4. Warunki realizacji zamówienia zawarte są w projektowanych postanowieniach umowy stanowiących załącznik nr 9 do SWZ.
5. Dostawy muszą obejmować wszystkie pozycje wyszczególnione w Szczegółowym opisie przedmiotu zamówienia.
6. Oferowany w ramach zadania przedmiot zamówienia musi być objęty gwarancją minimum 36 miesięcy. Gwarancja stanowi kryterium oceny ofert w sposób określony w pkt 21.2. ppkt 2 SWZ. Ostateczną długość gwarancji Wykonawca określi w Formularzu oferty pkt 2 ppkt 1. Okres gwarancji dotyczy całego przedmiotu zamówienia opisanego w zadaniu częściowym nr 1.
Zadanie częściowe nr 2: ,,DOSTAWA kopiarki cyfrowej monochromatycznej oraz niszczarek do niszczenia dokumentów i nośników magnetycznych".
1. Przedmiotem zamówienia jest dostawa do siedziby Zamawiającego fabrycznie nowych, kompletnych, nieużywanych, wolnych od wad fizycznych oraz gotowych do pracy zgodnie z przeznaczeniem kopiarki cyfrowej monochromatycznej oraz niszczarek do niszczenia dokumentów i nośników magnetycznych.
2. Zamówienie obejmuje dostawę:
a) Kopiarka cyfrowa monochromatyczna - 1 szt.,
b) Niszczarka do niszczenia dokumentów i nośników magnetycznych - 3 szt.
3. Oferowane i dostarczone urządzenia muszą spełniać wszystkie wymagania techniczne i parametry określone w Szczegółowym opisie przedmiotu zamówienia stanowiącym załącznik nr 6 do SWZ. Zamówienie obejmie również: transport, rozładunek, wniesienie do wskazanych przez Zamawiającego pomieszczeń oraz ubezpieczenie przedmiotu dostawy.
4. Warunki realizacji zamówienia zawarte są w projektowanych postanowieniach umowy stanowiących załącznik nr 9 do SWZ.
5. Dostawy muszą obejmować wszystkie pozycje wyszczególnione w Szczegółowym opisie przedmiotu zamówienia.
6. Oferowany w ramach zadania przedmiot zamówienia musi być objęty gwarancją minimum 36 miesięcy. Gwarancja stanowi kryterium oceny ofert w sposób określony w pkt 21.2. ppkt 2 SWZ. Ostateczną długość gwarancji Wykonawca określi w Formularzu oferty pkt 2 ppkt 2. Okres gwarancji dotyczy całego przedmiotu zamówienia opisanego w zadaniu częściowym nr 2.
Zadanie częściowe nr 3: ,,DOSTAWA serwera plików oraz dysków twardych do rozbudowy macierzy".
1. Przedmiotem zamówienia jest dostawa do siedziby Zamawiającego fabrycznie nowych, kompletnych, nieużywanych, wolnych od wad fizycznych oraz gotowych do pracy zgodnie z przeznaczeniem serwera plików oraz dysków twardych do rozbudowy macierzy.
2. Zamówienie obejmuje dostawę:
a) Serwer plików - 1 szt.,
b) Dyski twarde do rozbudowy macierzy - 10 szt.
3. Oferowane i dostarczone urządzenia muszą spełniać wszystkie wymagania techniczne i parametry określone w Szczegółowym opisie przedmiotu zamówienia stanowiącym załącznik nr 7 do SWZ. Zamówienie obejmie również: transport, rozładunek, wniesienie do wskazanych przez Zamawiającego pomieszczeń oraz ubezpieczenie przedmiotu dostawy.
4. Warunki realizacji zamówienia zawarte są w projektowanych postanowieniach umowy stanowiących załącznik nr 9 do SWZ.
5. Dostawy muszą obejmować wszystkie pozycje wyszczególnione w Szczegółowym opisie przedmiotu zamówienia.
6. Oferowany w ramach zadania przedmiot zamówienia musi być objęty gwarancją minimum 36 miesięcy. Gwarancja stanowi kryterium oceny ofert w sposób określony w pkt 21.2. ppkt 2 SWZ. Ostateczną długość gwarancji Wykonawca określi w Formularzu oferty pkt 2 ppkt 3. Okres gwarancji dotyczy całego przedmiotu zamówienia opisanego w zadaniu częściowym nr 3.
Zadanie częściowe nr 4: ,,DOSTAWA plotera oraz skanera wielkoformatowego".
1. Przedmiotem zamówienia jest dostawa do siedziby Zamawiającego fabrycznie nowych, kompletnych, nieużywanych, wolnych od wad fizycznych oraz gotowych do pracy zgodnie z przeznaczeniem plotera oraz skanera wielkoformatowego.
2. Zamówienie obejmuje dostawę:
a) Ploter - 1 szt.,
b) Skaner wielkoformatowy - 1 szt.
3. Oferowane i dostarczone urządzenia muszą spełniać wszystkie wymagania techniczne i parametry określone w Szczegółowym opisie przedmiotu zamówienia stanowiącym załącznik nr 8 do SWZ. Zamówienie obejmie również: transport, rozładunek, wniesienie do wskazanych przez Zamawiającego pomieszczeń oraz ubezpieczenie przedmiotu dostawy.
4. Warunki realizacji zamówienia zawarte są w Projektowanych Postanowieniach Umowy stanowiących załącznik nr 9 do SWZ.
5. Dostawy muszą obejmować wszystkie pozycje wyszczególnione w Szczegółowym opisie przedmiotu zamówienia.
6. Oferowany w ramach zadania przedmiot zamówienia musi być objęty gwarancją minimum 24 miesiące. Gwarancja stanowi kryterium oceny ofert w sposób określony w pkt 21.2. ppkt 3 SWZ. Ostateczną długość gwarancji Wykonawca określi w Formularzu oferty pkt 2 ppkt 4. Okres gwarancji dotyczy całego przedmiotu zamówienia opisanego w zadaniu częściowym nr 4.</t>
  </si>
  <si>
    <t>SEKCJA III - UDOSTĘPNIANIE DOKUMENTÓW ZAMÓWIENIA I KOMUNIKACJA
3.1.) Adres strony internetowej prowadzonego postępowania
https://e-propublico.pl.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niniejszym postępowaniu komunikacja między Zamawiającym, a Wykonawcą, w tym składanie ofert, wymiana informacji oraz przekazywanie dokumentów lub oświadczeń odbywa się przy użyciu środków komunikacji elektronicznej, za pośrednictwem platformy on-line działającej pod adresem https://e-propublico.pl, zwanej dalej jako: ,,Platforma". Korzystanie z platformy przez Wykonawcę jest bezpłatne.
3.6.) Wymagania techniczne i organizacyjne dotyczące korespondencji elektronicznej: 1. Wykonawca przystępując do postępowania o udzielenie zamówienia publicznego, akceptuje warunki korzystania z Platformy określone w Regulaminie zamieszczonym na stronie internetowej https://e-propublico.pl oraz uznaje go za wiążący.
2. Wykonawca zamierzający wziąć udział w postępowaniu musi posiadać konto na Platformie.
3. Do złożenia oferty konieczne jest posiadanie przez osobę upoważnioną do reprezentowania Wykonawcy ważnego kwalifikowanego podpisu elektronicznego, podpisu zaufanego lub podpisu osobistego.
4. Zalecenia Zamawiającego odnośnie kwalifikowanego podpisu elektronicznego:
a) dokumenty sporządzone i przesyłane w formacie .pdf zaleca się podpisywać kwalifikowanym podpisem elektronicznym w formacie PAdES;
b) dokumenty sporządzone i przesyłane w formacie innym niż .pdf zaleca się podpisywać kwalifikowanym podpisem elektronicznym w formacie XAdES;
c) do składania kwalifikowanego podpisu elektronicznego zaleca się stosowanie algorytmu SHA-2 (lub wyższego),
d) w przypadku podpisywanie pliku przez kilka osób, zalecamy stosować podpisy tego samego rodzaju. Podpisywanie różnymi rodzajami podpisów np. osobistym i kwalifikowanym może doprowadzić do problemów w weryfikacji plików;
e) w celu ewentualnej kompresji danych Zamawiający rekomenduje wykorzystanie w szczególności jednego z formatów: .zip, .7z.;
f) ze względu na niskie ryzyko naruszenia integralności pliku oraz łatwiejszą weryfikację podpisu, Zamawiający zaleca, w miarę możliwości przekonwertowanie plików składających się na ofertę na format .pdf i opatrzenie ich podpisem kwalifikowanym PAdES. W przypadku podpisywania oświadczeń lub dokumentów sporządzonych w formacie innym niż .pdf - w przypadku opatrywania ich kwalifikowanym podpisem elektronicznym - zaleca się zastosowanie kwalifikowanego podpisu elektronicznego w formacie XAdES w wariancie wewnętrznym. W przypadku użycia kwalifikowanego podpisu elektronicznego w formacie XAdES w wariancie zewnętrznym, należy pamiętać aby przekazać zarówno podpisywane oświadczenie lub dokument oraz plik podpisu zewnętrznego.
5.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e) włączona obsługa JavaScript oraz Cookies.
6. Zamawiający dopuszcza pliki o wielkości do 150 MB, przy czym nie określa się limitu liczby plików. Zamawiający zaleca wykorzystywanie plików w szczególności w formatach: .pdf, .doc, .docx., .rtf, .odt, .xls, .xlsx.
7.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 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8. W postępowaniu, wszelkie oświadczenia, wnioski, zawiadomienia oraz informacje przekazywane są za pośrednictwem Platformy (karta: ,,Zapytania/Wyjaśnienia", ,,Wiadomości", ,,Dokumenty na wezwanie"). Za datę wpływu oświadczeń, wniosków, zawiadomień oraz informacji przesłanych za pośrednictwem Platformy, przyjmuje się datę ich zamieszczenia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 administratorem Pani/Pana danych osobowych jest Starostwo Powiatowe z siedzibą w Limanowej przy ulicy Józefa Marka 9, 34-600 Limanowa, tel. 18 33 37 816, e-mail starostwo@powiat.limanowski.pl;
b) osobą do kontaktu w sprawach dotyczących ochrony danych osobowych jest inspektor ochrony danych osobowych, z którym można kontaktować się telefonicznie pod nr tel.18 33 37 835 lub e-mail: iod@powiat.limanowski.pl ;
c) Pani/Pana dane osobowe przetwarzane będą w celu związanym z niniejszym postępowaniem o udzielenie zamówienia publicznego oraz zawarciem i realizacją umowy,
d) Pani/Pana dane osobowe mogą zostać ujawnione Wykonawcom oraz wszystkim
zainteresowanym, z uwzględnieniem ograniczeń wskazanych w przepisach prawa a także podmiotom przetwarzającym dane na podstawie zawartych umów,
e) Pani/Pana dane osobowe będą przechowywane przez okres odpowiedni dla
dokumentacji zamówień publicznych, zgodny z rozporządzeniem Prezesa Rady
Ministrów w sprawie instrukcji kancelaryjnej, jednolitych rzeczowych wykazów akt dla organów powiatu oraz instrukcji w sprawie organizacji i zakresu działania archiwów zakładowych,
f) podanie przez Panią/Pana danych osobowych jest dobrowolne, zakres wymaganych danych wynika z przepisów ustawy Pzp i jest związany z udziałem w postępowaniu o udzielenie zamówienia publicznego oraz zawarcia i realizacji umowy; konsekwencje niepodania wymaganych danych wynikają z ustawy Pzp,
g) w odniesieniu do Pani/Pana danych osobowych decyzje nie będą podejmowane w
sposób zautomatyzowany, stosowanie do art. 22 RODO;
h) posiada Pani/Pan:
- na podstawie art. 15 RODO prawo dostępu do danych osobowych Pani/Pana dotyczących;
- na podstawie art. 16 RODO prawo do sprostowania Pani/Pana danych
osobowych;
- na podstawie art. 18 RODO prawo żądania od administratora ograniczenia przetwarzania danych osobowych z zastrzeżeniem przypadków, o których mowa w art. 18 ust. 2 RODO;
- prawo do wniesienia skargi do Prezesa Urzędu Ochrony Danych Osobowych, gdy uzna Pani/Pan, że przetwarzanie danych osobowych Pani/Pana dotyczących narusza przepisy RODO;
i) nie przysługuje Pani/Panu:
- w związku z art. 17 ust. 3 lit. b, d lub e RODO prawo do usunięcia danych osobowych;
- prawo do przenoszenia danych osobowych, o którym mowa w art. 20 RODO;
- na podstawie art. 21 RODO prawo sprzeciwu, wobec przetwarzania danych osobowych, gdyż przetwarzanie odbywa się zgodnie z art. 6 ust. 1 lit. c RODO.
3.16.) RODO (ograniczenia stosowania): 1. Ograniczenia stosowania przepisów RODO:
a) skorzystanie przez osobę, której dane osobowe dotyczą, z uprawnienia do sprostowania lub uzupełnienia, o którym mowa w art. 16 rozporządzenia 2016/679, nie może skutkować zmianą wyniku postępowania o udzielenie zamówienia ani zmianą postanowień umowy w sprawie zamówienia publicznego w zakresie niezgodnym z ustawą;
b) w postępowaniu o udzielnie zamówienia zgłoszenie żądania ograniczenia przetwarzania, o którym mowa w art. 18 ust. 1 rozporządzenia 2016/679, nie ogranicza przetwarzania danych osobowych do czasu zakończenia tego postępowania.</t>
  </si>
  <si>
    <t>TERMIN SKŁADANIA ofert: 2025-08-01 10:00
Miejsce składania ofert: Ofertę, wraz z załącznikami, należy zlożyć za pośrednictwem Platformy działajacej pod adresem: https://e-propublico.pl</t>
  </si>
  <si>
    <t>2025-08-01</t>
  </si>
  <si>
    <t>Termin otwarcia ofert: 2025-08-01 10:30</t>
  </si>
  <si>
    <t>dostępne w oryginalnej treści ogłoszenia</t>
  </si>
  <si>
    <t>w oryginalnej treści</t>
  </si>
  <si>
    <t>30236000-2, 30213300-8,30231300-0,30230000-0,30232110-8, 30230000-0, 42962000-7,30191400-8, 48820000-2, 48821000-9</t>
  </si>
  <si>
    <t>2025/BZP 00343910, BZ.272.21.2025</t>
  </si>
  <si>
    <t>Biuletyn Zamówień Publicznych - z dnia 2025-07-24</t>
  </si>
  <si>
    <t>PL7372206836</t>
  </si>
  <si>
    <t>Lista wyników przetargów spełniających Twoje kryteria:</t>
  </si>
  <si>
    <t>Adres</t>
  </si>
  <si>
    <t>Wartość przetargu</t>
  </si>
  <si>
    <t>Wynik</t>
  </si>
  <si>
    <t>ID przetargu</t>
  </si>
  <si>
    <t>Link przetargu</t>
  </si>
  <si>
    <t>29910659</t>
  </si>
  <si>
    <t>Dostawa sprzętu i oprogramowania komputerowego dla Uniwersytetu Jana Długosza w Częstochowie</t>
  </si>
  <si>
    <t>Uniwersytet Jana Długosza w Częstochowie</t>
  </si>
  <si>
    <t>Ulica Waszyngtona 4/8, 42-217 Częstochowa</t>
  </si>
  <si>
    <t>śląskie</t>
  </si>
  <si>
    <t>Częstochowa</t>
  </si>
  <si>
    <t>30200000, 30213100, 32425000, 30213000, 30231300, 30237410, 30237460, 30237200, 48310000, 30232110, 30232100, 30234600</t>
  </si>
  <si>
    <t>40450</t>
  </si>
  <si>
    <t>6. Wyniki
Wartość wszystkich umów przyznanych w tym zawiadomieniu: 40 450,00 PLN
6.1.
Wyniki - ID części zamówienia: LOT-0001
Status wyboru zwycięzcy: Wyłoniono co najmniej jednego zwycięzcę.
6.1.2.
Informacje o zwycięzcach
Zwycięzca:
Nazwa strony oferującej: BIS Spółka Cywilna Karol Kowalski, Łukasz Kowalski - zadanie 1
Lider uczestnika przetargu: KAROL KOWALSKI
Oficjalna nazwa: BIS ŁUKASZ KOWALSKI
Oferta:
Identyfikator oferty: Zadanie 1: Laptop z systemem operacyjnym - 8 sztuk.
Identyfikator części zamówienia lub grupy części: LOT-0001
Wartość przetargu: 27 760,00 PLN
Oferta została sklasyfikowana: tak
Wartość koncesji:
Oferta jest ofertą wariantową: nie
Podwykonawstwo: Nie
Informacje dotyczące zamówienia:
Identyfikator umowy: ZP.26.2.84.2025
Tytuł: Zadanie 1: Laptop z systemem operacyjnym - 8 sztuk.
Data wyboru zwycięzcy: 11/07/2025
Data zawarcia umowy: 22/07/2025
Informacje o funduszach Unii Europejskiej
Nazwa projektu lub programu finansowanego przez UE: Erasmus+ (2021/2027)
Identyfikator funduszy UE: Erasmus+ nr 2023-1-PL01-KA131-HED-000133271
6.1.4.
Informacje statystyczne:
Otrzymane oferty lub wnioski o dopuszczenie do udziału:
Rodzaj otrzymanych ofert lub wniosków: Oferty
Liczba otrzymanych ofert lub wniosków o dopuszczenie do udziału: 3
Rodzaj otrzymanych ofert lub wniosków: Oferty złożone drogą elektroniczną
Liczba otrzymanych ofert lub wniosków o dopuszczenie do udziału: 3
Rodzaj otrzymanych ofert lub wniosków: Oferty złożone przez mikro-, małych lub średnich oferentów
Liczba otrzymanych ofert lub wniosków o dopuszczenie do udziału: 3
Rodzaj otrzymanych ofert lub wniosków: Oferty złożone przez oferentów z siedzibą w państwach Europejskiego Obszaru Gospodarczego innych niż państwo nabywcy
Liczba otrzymanych ofert lub wniosków o dopuszczenie do udziału: 0
Rodzaj otrzymanych ofert lub wniosków: Oferty złożone przez oferentów z siedzibą w państwach spoza Europejskiego Obszaru Gospodarczego
Liczba otrzymanych ofert lub wniosków o dopuszczenie do udziału: 0
Rodzaj otrzymanych ofert lub wniosków: Oferty zweryfikowane jako niedopuszczalne z powodu rażąco niskiej ceny lub rażąco niskiego kosztu
Liczba otrzymanych ofert lub wniosków o dopuszczenie do udziału: 0
Rodzaj otrzymanych ofert lub wniosków: Oferty zweryfikowane jako niedopuszczalne
Liczba otrzymanych ofert lub wniosków o dopuszczenie do udziału: 2
Zakres ofert:
Wartość najniższej dopuszczalnej oferty: 27 760,00 PLN
Wartość najwyższej dopuszczalnej oferty: 27 760,00 PLN
6.1.
Wyniki - ID części zamówienia: LOT-0002
Status wyboru zwycięzcy: Wyłoniono co najmniej jednego zwycięzcę.
6.1.2.
Informacje o zwycięzcach
Zwycięzca:
Nazwa strony oferującej: BIS Spółka Cywilna Karol Kowalski, Łukasz Kowalski - zadanie 2
Lider uczestnika przetargu: KAROL KOWALSKI
Oficjalna nazwa: BIS ŁUKASZ KOWALSKI
Oferta:
Identyfikator oferty: Zadanie 2: Zestawy komputerowe stacjonarne - 3 zestawy.
Identyfikator części zamówienia lub grupy części: LOT-0002
Wartość przetargu: 6 190,00 PLN
Oferta została sklasyfikowana: tak
Wartość koncesji:
Oferta jest ofertą wariantową: nie
Podwykonawstwo: Nie
Informacje dotyczące zamówienia:
Identyfikator umowy: ZP.26.2.85.2025
Tytuł: Zadanie 2: Zestawy komputerowe stacjonarne - 3 zestawy.
Data wyboru zwycięzcy: 11/07/2025
Data zawarcia umowy: 22/07/2025
6.1.4.
Informacje statystyczne:
Otrzymane oferty lub wnioski o dopuszczenie do udziału:
Rodzaj otrzymanych ofert lub wniosków: Oferty
Liczba otrzymanych ofert lub wniosków o dopuszczenie do udziału: 2
Rodzaj otrzymanych ofert lub wniosków: Oferty złożone drogą elektroniczną
Liczba otrzymanych ofert lub wniosków o dopuszczenie do udziału: 2
Rodzaj otrzymanych ofert lub wniosków: Oferty złożone przez mikro-, małych lub średnich oferentów
Liczba otrzymanych ofert lub wniosków o dopuszczenie do udziału: 2
Rodzaj otrzymanych ofert lub wniosków: Oferty złożone przez oferentów z siedzibą w państwach Europejskiego Obszaru Gospodarczego innych niż państwo nabywcy
Liczba otrzymanych ofert lub wniosków o dopuszczenie do udziału: 0
Rodzaj otrzymanych ofert lub wniosków: Oferty złożone przez oferentów z siedzibą w państwach spoza Europejskiego Obszaru Gospodarczego
Liczba otrzymanych ofert lub wniosków o dopuszczenie do udziału: 0
Rodzaj otrzymanych ofert lub wniosków: Oferty zweryfikowane jako niedopuszczalne z powodu rażąco niskiej ceny lub rażąco niskiego kosztu
Liczba otrzymanych ofert lub wniosków o dopuszczenie do udziału: 0
Rodzaj otrzymanych ofert lub wniosków: Oferty zweryfikowane jako niedopuszczalne
Liczba otrzymanych ofert lub wniosków o dopuszczenie do udziału: 1
Zakres ofert:
Wartość najniższej dopuszczalnej oferty: 6 190,00 PLN
Wartość najwyższej dopuszczalnej oferty: 6 190,00 PLN
6.1.
Wyniki - ID części zamówienia: LOT-0003
Status wyboru zwycięzcy: Wyłoniono co najmniej jednego zwycięzcę.
6.1.2.
Informacje o zwycięzcach
Zwycięzca:
Nazwa strony oferującej: BIS Spółka Cywilna Karol Kowalski, Łukasz Kowalski - zadanie 3
Lider uczestnika przetargu: KAROL KOWALSKI
Oficjalna nazwa: BIS ŁUKASZ KOWALSKI
Oferta:
Identyfikator oferty: Zadanie 3: Oprogramowania biurowe - 9 sztuk.
Identyfikator części zamówienia lub grupy części: LOT-0003
Wartość przetargu: 3 400,00 PLN
Oferta została sklasyfikowana: tak
Wartość koncesji:
Oferta jest ofertą wariantową: nie
Podwykonawstwo: Nie
Informacje dotyczące zamówienia:
Identyfikator umowy: ZP.26.2.87.2025
Tytuł: Zadanie 3: Oprogramowania biurowe - 9 sztuk.
Data wyboru zwycięzcy: 11/07/2025
Data zawarcia umowy: 22/07/2025
Informacje o funduszach Unii Europejskiej
Nazwa projektu lub programu finansowanego przez UE: Erasmus+ (2021/2027)
Identyfikator funduszy UE: Erasmus+ nr 2023-1-PL01-KA131-HED-000133271.
6.1.4.
Informacje statystyczne:
Otrzymane oferty lub wnioski o dopuszczenie do udziału:
Rodzaj otrzymanych ofert lub wniosków: Oferty
Liczba otrzymanych ofert lub wniosków o dopuszczenie do udziału: 2
Rodzaj otrzymanych ofert lub wniosków: Oferty złożone drogą elektroniczną
Liczba otrzymanych ofert lub wniosków o dopuszczenie do udziału: 2
Rodzaj otrzymanych ofert lub wniosków: Oferty złożone przez mikro-, małych lub średnich oferentów
Liczba otrzymanych ofert lub wniosków o dopuszczenie do udziału: 2
Rodzaj otrzymanych ofert lub wniosków: Oferty złożone przez oferentów z siedzibą w państwach Europejskiego Obszaru Gospodarczego innych niż państwo nabywcy
Liczba otrzymanych ofert lub wniosków o dopuszczenie do udziału: 0
Rodzaj otrzymanych ofert lub wniosków: Oferty złożone przez oferentów z siedzibą w państwach spoza Europejskiego Obszaru Gospodarczego
Liczba otrzymanych ofert lub wniosków o dopuszczenie do udziału: 0
Rodzaj otrzymanych ofert lub wniosków: Oferty zweryfikowane jako niedopuszczalne z powodu rażąco niskiej ceny lub rażąco niskiego kosztu
Liczba otrzymanych ofert lub wniosków o dopuszczenie do udziału: 0
Rodzaj otrzymanych ofert lub wniosków: Oferty zweryfikowane jako niedopuszczalne
Liczba otrzymanych ofert lub wniosków o dopuszczenie do udziału: 0
Zakres ofert:
Wartość najniższej dopuszczalnej oferty: 3 400,00 PLN
Wartość najwyższej dopuszczalnej oferty: 4 320,00 PLN
6.1.
Wyniki - ID części zamówienia: LOT-0004
Status wyboru zwycięzcy: Wyłoniono co najmniej jednego zwycięzcę.
6.1.2.
Informacje o zwycięzcach
Zwycięzca:
Nazwa strony oferującej: BIS Spółka Cywilna Karol Kowalski, Łukasz Kowalski - zadanie 4
Lider uczestnika przetargu: KAROL KOWALSKI
Oficjalna nazwa: BIS ŁUKASZ KOWALSKI
Oferta:
Identyfikator oferty: Zadanie 4: Urządzenia wielofunkcyjne i drukarki - 3 sztuki.
Identyfikator części zamówienia lub grupy części: LOT-0004
Wartość przetargu: 1 660,00 PLN
Oferta została sklasyfikowana: tak
Wartość koncesji:
Oferta jest ofertą wariantową: nie
Podwykonawstwo: Nie
Informacje dotyczące zamówienia:
Identyfikator umowy: ZP.26.2.86.2025
Tytuł: Zadanie 4: Urządzenia wielofunkcyjne i drukarki - 3 sztuki.
Data wyboru zwycięzcy: 11/07/2025
Data zawarcia umowy: 22/07/2025
6.1.4.
Informacje statystyczne:
Otrzymane oferty lub wnioski o dopuszczenie do udziału:
Rodzaj otrzymanych ofert lub wniosków: Oferty
Liczba otrzymanych ofert lub wniosków o dopuszczenie do udziału: 3
Rodzaj otrzymanych ofert lub wniosków: Oferty złożone drogą elektroniczną
Liczba otrzymanych ofert lub wniosków o dopuszczenie do udziału: 3
Rodzaj otrzymanych ofert lub wniosków: Oferty złożone przez mikro-, małych lub średnich oferentów
Liczba otrzymanych ofert lub wniosków o dopuszczenie do udziału: 3
Rodzaj otrzymanych ofert lub wniosków: Oferty złożone przez oferentów z siedzibą w państwach Europejskiego Obszaru Gospodarczego innych niż państwo nabywcy
Liczba otrzymanych ofert lub wniosków o dopuszczenie do udziału: 0
Rodzaj otrzymanych ofert lub wniosków: Oferty złożone przez oferentów z siedzibą w państwach spoza Europejskiego Obszaru Gospodarczego
Liczba otrzymanych ofert lub wniosków o dopuszczenie do udziału: 0
Rodzaj otrzymanych ofert lub wniosków: Oferty zweryfikowane jako niedopuszczalne z powodu rażąco niskiej ceny lub rażąco niskiego kosztu
Liczba otrzymanych ofert lub wniosków o dopuszczenie do udziału: 0
Rodzaj otrzymanych ofert lub wniosków: Oferty zweryfikowane jako niedopuszczalne
Liczba otrzymanych ofert lub wniosków o dopuszczenie do udziału: 1
Zakres ofert:
Wartość najniższej dopuszczalnej oferty: 1 660,00 PLN
Wartość najwyższej dopuszczalnej oferty: 1 836,00 PLN
6.1.
Wyniki - ID części zamówienia: LOT-0005
Status wyboru zwycięzcy: Wyłoniono co najmniej jednego zwycięzcę.
6.1.2.
Informacje o zwycięzcach
Zwycięzca:
Nazwa strony oferującej: BIS Spółka Cywilna Karol Kowalski, Łukasz Kowalski - zadanie 5
Lider uczestnika przetargu: KAROL KOWALSKI
Oficjalna nazwa: BIS ŁUKASZ KOWALSKI
Oferta:
Identyfikator oferty: Zadanie 5: Drobny sprzęt komputerowy.
Identyfikator części zamówienia lub grupy części: LOT-0005
Wartość przetargu: 1 440,00 PLN
Oferta została sklasyfikowana: tak
Wartość koncesji:
Oferta jest ofertą wariantową: nie
Podwykonawstwo: Nie
Informacje dotyczące zamówienia:
Identyfikator umowy: ZP.26.2.88.2025
Tytuł: Zadanie 5: Drobny sprzęt komputerowy.
Data wyboru z</t>
  </si>
  <si>
    <t>29312882</t>
  </si>
  <si>
    <t>29911358</t>
  </si>
  <si>
    <t>Usługa serwisowania urządzeń warsztatowych</t>
  </si>
  <si>
    <t>3 Regionalna Baza Logistyczna w Krakowie</t>
  </si>
  <si>
    <t>ul. Montelupich 3, 30-901 Kraków</t>
  </si>
  <si>
    <t>50530000-9</t>
  </si>
  <si>
    <t>Biuletyn Zamówień Publicznych</t>
  </si>
  <si>
    <t>Wartość zamówienia: 141640,00 PLN
Część 1
Wartość części: 145000,00 PLN
Część 2
Wartość części: 48000,0 PLN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6 ustawy
5.2.1.) Przyczyna unieważnienia postępowania:
Uzasadnienie prawne unieważnienia:
Zgodnie z art. 255 pkt. 6 ustawy Pzp - Zamawiający unieważnia postępowanie
o udzielenie zamówienia jeżeli, postępowanie obarczone jest niemożliwą do usunięcia wadą uniemożliwiającą zawarcie niepodlegającej unieważnieniu umowy w sprawie zamówienia publicznego, w związku z art. 17 ust. 2 ustawy Pzp - Zamówienia udziela się Wykonawcy wybranemu zgodnie z przepisami ustawy oraz w związku z art. 134 ust. 1, pkt 18 ustawy Pzp - SWZ zawiera co najmniej opis kryteriów oceny ofert, wraz z podaniem wag tych kryteriów i sposobu oceny ofert.
Uzasadnienie faktyczne:
Zamawiający informuje, iż w toku analizy dokumentacji postępowania stwierdzono wadę w opisie kryteriów oceny ofert, która uniemożliwia przeprowadzenie zgodnego z przepisami ustalenia oferty najkorzystniejszej, a w konsekwencji zawarcia umowy niepodlegającej unieważnieniu.
W dokumentacji zamówienia w opisie kryterium oceny ofert SWZ, rozdział XVII wskazano, że:
,,1. Zamawiający dokona oceny ofert złożonych w postępowaniu według kryteriów oceny, którymi w niniejszym postępowaniu są:
Lp. Kryterium Znaczenie/waga kryterium w %
1. Cena oferty [A] 100
1) Zasady oceny w kryterium ,,cena oferty" (A):
Do oceny Zamawiający przyjmie cenę oferty podaną przez wykonawcę w załączniku nr 1 do SWZ - druk OFERTA, w pkt 1. Cena oferty winna być wyrażona w złotych polskich (PLN). Oferta z najniższą ceną otrzyma maksymalną ilość punktów (60 pkt). Pozostałe oferty zostaną przeliczone wg wzoru podanego poniżej z dokładnością do dwóch miejsc po przecinku. Wynik traktowany będzie jako wartość punktowa oferty wg kryterium ,,cena oferty".
gdzie:
A - liczba punktów za kryterium cena
C of. n. - oferta z najniższą ceną
C of. b. - cena oferty badanej
Za najkorzystniejszą ofertę zostanie uznana oferta, która uzyska największą liczbę punków. Zamawiający dokona oceny ofert oddzielnie w zakresie każdego z zadań."
Jednocześnie, zgodnie z zapisami SWZ (tabela kryteriów oceny ofert), kryterium ,,Cena" zostało określone jako jedyne kryterium oceny, z wagą 100% co odpowiada 100 pkt. Wskazana nieścisłość w zakresie liczby możliwych do uzyskania punktów (60 pkt czy 100 pkt) prowadzi do sprzeczności, która może mieć wpływ na wynik oceny ofert oraz naruszać zasadę przejrzystości postępowania i równego traktowania Wykonawców.
Powyższej wady nie można usunąć bez naruszenia zasad uczciwej konkurencji lub bez wprowadzenia istotnych zmian w dokumentacji zamówienia, w związku z powyższym niemożliwa do usunięcia wada uniemożliwia zawarcie niepodlegającej unieważnieniu umowy. Zatem Zamawiający działając zgodnie z art. 255 pkt 6 ustawy Pzp unieważnia postępowanie na serwisowanie urządzeń warsztatowych.
SEKCJA VI OFERTY (dla części 1)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Część 2
SEKCJA V ZAKOŃCZENIE POSTĘPOWANIA (dla części 2)
5.1.) Postępowanie zakończyło się zawarciem umowy albo unieważnieniem postępowania: Postępowanie/cześć postępowania zakończyła się unieważnieniem
5.2.) Podstawa prawna unieważnienia postępowania: art. 255 pkt 6 ustawy
5.2.1.) Przyczyna unieważnienia postępowania:
Uzasadnienie prawne unieważnienia:
Zgodnie z art. 255 pkt. 6 ustawy Pzp - Zamawiający unieważnia postępowanie
o udzielenie zamówienia jeżeli, postępowanie obarczone jest niemożliwą do usunięcia wadą uniemożliwiającą zawarcie niepodlegającej unieważnieniu umowy w sprawie zamówienia publicznego, w związku z art. 17 ust. 2 ustawy Pzp - Zamówienia udziela się Wykonawcy wybranemu zgodnie z przepisami ustawy oraz w związku z art. 134 ust. 1, pkt 18 ustawy Pzp - SWZ zawiera co najmniej opis kryteriów oceny ofert, wraz z podaniem wag tych kryteriów i sposobu oceny ofert.
Uzasadnienie faktyczne:
Zamawiający informuje, iż w toku analizy dokumentacji postępowania stwierdzono wadę w opisie kryteriów oceny ofert, która uniemożliwia przeprowadzenie zgodnego z przepisami ustalenia oferty najkorzystniejszej, a w konsekwencji zawarcia umowy niepodlegającej unieważnieniu.
W dokumentacji zamówienia w opisie kryterium oceny ofert SWZ, rozdział XVII wskazano, że:
,,1. Zamawiający dokona oceny ofert złożonych w postępowaniu według kryteriów oceny, którymi w niniejszym postępowaniu są:
Lp. Kryterium Znaczenie/waga kryterium w %
1. Cena oferty [A] 100
1) Zasady oceny w kryterium ,,cena oferty" (A):
Do oceny Zamawiający przyjmie cenę oferty podaną przez wykonawcę w załączniku nr 1 do SWZ - druk OFERTA, w pkt 1. Cena oferty winna być wyrażona w złotych polskich (PLN). Oferta z najniższą ceną otrzyma maksymalną ilość punktów (60 pkt). Pozostałe oferty zostaną przeliczone wg wzoru podanego poniżej z dokładnością do dwóch miejsc po przecinku. Wynik traktowany będzie jako wartość punktowa oferty wg kryterium ,,cena oferty".
gdzie:
A - liczba punktów za kryterium cena
C of. n. - oferta z najniższą ceną
C of. b. - cena oferty badanej
Za najkorzystniejszą ofertę zostanie uznana oferta, która uzyska największą liczbę punków. Zamawiający dokona oceny ofert oddzielnie w zakresie każdego z zadań."
Jednocześnie, zgodnie z zapisami SWZ (tabela kryteriów oceny ofert), kryterium ,,Cena" zostało określone jako jedyne kryterium oceny, z wagą 100% co odpowiada 100 pkt. Wskazana nieścisłość w zakresie liczby możliwych do uzyskania punktów (60 pkt czy 100 pkt) prowadzi do sprzeczności, która może mieć wpływ na wynik oceny ofert oraz naruszać zasadę przejrzystości postępowania i równego traktowania Wykonawców.
Powyższej wady nie można usunąć bez naruszenia zasad uczciwej konkurencji lub bez wprowadzenia istotnych zmian w dokumentacji zamówienia, w związku z powyższym niemożliwa do usunięcia wada uniemożliwia zawarcie niepodlegającej unieważnieniu umowy. Zatem Zamawiający działając zgodnie z art. 255 pkt 6 ustawy Pzp unieważnia postępowanie na serwisowanie urządzeń warsztatowych.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t>
  </si>
  <si>
    <t>29722915</t>
  </si>
  <si>
    <t>Sprostowania dodane w dniu dzisiejszym:</t>
  </si>
  <si>
    <t>Nazwa</t>
  </si>
  <si>
    <t>29880494</t>
  </si>
  <si>
    <t>Dostawa sprzętu i oprogramowania komputerowego</t>
  </si>
  <si>
    <t>Sprostowanie</t>
  </si>
  <si>
    <t>29711053</t>
  </si>
  <si>
    <t>Dostawa sprzętu drukującego</t>
  </si>
  <si>
    <t>Aktualizacja ogłoszenia</t>
  </si>
  <si>
    <t>Unieważnienia dodane w dniu dzisiejszym:</t>
  </si>
  <si>
    <t>Specyfikacje dodane w dniu dzisiejszym: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</si>
</sst>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sz val="10.0"/>
      <color theme="1"/>
      <name val="Arial"/>
    </font>
    <font>
      <u/>
      <sz val="10.0"/>
      <color rgb="FF0000FF"/>
      <name val="Arial"/>
    </font>
  </fonts>
  <fills count="2">
    <fill>
      <patternFill patternType="none"/>
    </fill>
    <fill>
      <patternFill patternType="lightGray"/>
    </fill>
  </fills>
  <borders count="2">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0" fontId="1" numFmtId="0" xfId="0" applyAlignment="1" applyBorder="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sheetData>
    <row r="1">
      <c r="A1" s="1" t="s">
        <v>0</v>
      </c>
      <c r="B1" s="2" t="s">
        <v>1</v>
      </c>
    </row>
    <row r="2">
      <c r="A2" s="1" t="s">
        <v>2</v>
      </c>
      <c r="B2" s="2" t="s">
        <v>3</v>
      </c>
    </row>
    <row r="3">
      <c r="A3" s="1" t="s">
        <v>4</v>
      </c>
      <c r="B3" s="2" t="s">
        <v>5</v>
      </c>
    </row>
    <row r="4">
      <c r="A4" s="1" t="s">
        <v>6</v>
      </c>
      <c r="B4" s="2" t="s">
        <v>7</v>
      </c>
    </row>
    <row r="5">
      <c r="A5" s="1" t="s">
        <v>8</v>
      </c>
      <c r="B5" s="3" t="str">
        <f>HYPERLINK("https://www.biznes-polska.pl/raport/PkEcxggPSQYlYssvPEzLygtZLH1GI5N3/?archived=1&amp;o=1&amp;df=20250724&amp;dt=20250724&amp;preview=1&amp;hh=78660c62","https://www.biznes-p...")</f>
        <v>https://www.biznes-p...</v>
      </c>
    </row>
    <row r="6">
      <c r="A6" s="1" t="s">
        <v>9</v>
      </c>
      <c r="B6" s="2" t="s">
        <v>10</v>
      </c>
    </row>
    <row r="7">
      <c r="A7" s="1" t="s">
        <v>11</v>
      </c>
      <c r="B7" s="2" t="s">
        <v>12</v>
      </c>
    </row>
    <row r="8">
      <c r="A8" s="2"/>
    </row>
    <row r="9">
      <c r="A9" s="1" t="s">
        <v>13</v>
      </c>
    </row>
    <row r="10">
      <c r="A10" s="4" t="s">
        <v>14</v>
      </c>
      <c r="B10" s="4" t="s">
        <v>15</v>
      </c>
      <c r="C10" s="4" t="s">
        <v>16</v>
      </c>
      <c r="D10" s="4" t="s">
        <v>17</v>
      </c>
      <c r="E10" s="4" t="s">
        <v>18</v>
      </c>
      <c r="F10" s="4" t="s">
        <v>19</v>
      </c>
      <c r="G10" s="4" t="s">
        <v>20</v>
      </c>
      <c r="H10" s="4" t="s">
        <v>21</v>
      </c>
      <c r="I10" s="4" t="s">
        <v>22</v>
      </c>
      <c r="J10" s="4" t="s">
        <v>23</v>
      </c>
      <c r="K10" s="4" t="s">
        <v>24</v>
      </c>
      <c r="L10" s="4" t="s">
        <v>25</v>
      </c>
      <c r="M10" s="4" t="s">
        <v>26</v>
      </c>
      <c r="N10" s="4" t="s">
        <v>27</v>
      </c>
      <c r="O10" s="4" t="s">
        <v>28</v>
      </c>
      <c r="P10" s="4" t="s">
        <v>29</v>
      </c>
      <c r="Q10" s="4" t="s">
        <v>30</v>
      </c>
      <c r="R10" s="4" t="s">
        <v>31</v>
      </c>
      <c r="S10" s="4" t="s">
        <v>32</v>
      </c>
      <c r="T10" s="4" t="s">
        <v>33</v>
      </c>
      <c r="U10" s="4" t="s">
        <v>34</v>
      </c>
      <c r="V10" s="4" t="s">
        <v>35</v>
      </c>
      <c r="W10" s="4" t="s">
        <v>36</v>
      </c>
      <c r="X10" s="4" t="s">
        <v>37</v>
      </c>
      <c r="Y10" s="4" t="s">
        <v>38</v>
      </c>
      <c r="Z10" s="4" t="s">
        <v>39</v>
      </c>
      <c r="AA10" s="4" t="s">
        <v>40</v>
      </c>
      <c r="AB10" s="4" t="s">
        <v>41</v>
      </c>
      <c r="AC10" s="4" t="s">
        <v>42</v>
      </c>
      <c r="AD10" s="4" t="s">
        <v>43</v>
      </c>
      <c r="AE10" s="4" t="s">
        <v>44</v>
      </c>
      <c r="AF10" s="4" t="s">
        <v>45</v>
      </c>
    </row>
    <row r="11">
      <c r="A11" s="2" t="s">
        <v>46</v>
      </c>
      <c r="B11" s="3" t="str">
        <f>HYPERLINK("https://www.biznes-polska.pl/przetargi/29909500/?pk=PkEcxggPSQYlYssvPEzLygtZLH1GI5N3&amp;df=20250724&amp;dt=20250724&amp;hh=bfda919c&amp;ido=29909500","https://www.biznes-p...")</f>
        <v>https://www.biznes-p...</v>
      </c>
      <c r="C11" s="2" t="s">
        <v>47</v>
      </c>
      <c r="D11" s="2" t="s">
        <v>48</v>
      </c>
      <c r="E11" s="2"/>
      <c r="F11" s="2" t="s">
        <v>49</v>
      </c>
      <c r="G11" s="2" t="s">
        <v>50</v>
      </c>
      <c r="H11" s="2" t="s">
        <v>51</v>
      </c>
      <c r="I11" s="2" t="s">
        <v>52</v>
      </c>
      <c r="J11" s="2"/>
      <c r="K11" s="2"/>
      <c r="L11" s="2" t="s">
        <v>53</v>
      </c>
      <c r="M11" s="2" t="s">
        <v>54</v>
      </c>
      <c r="N11" s="2" t="s">
        <v>55</v>
      </c>
      <c r="O11" s="2" t="s">
        <v>56</v>
      </c>
      <c r="P11" s="2" t="s">
        <v>57</v>
      </c>
      <c r="Q11" s="2"/>
      <c r="R11" s="2" t="s">
        <v>58</v>
      </c>
      <c r="S11" s="2" t="s">
        <v>59</v>
      </c>
      <c r="T11" s="2"/>
      <c r="U11" s="2" t="s">
        <v>60</v>
      </c>
      <c r="V11" s="2"/>
      <c r="W11" s="2"/>
      <c r="X11" s="2"/>
      <c r="Y11" s="2"/>
      <c r="Z11" s="2" t="s">
        <v>61</v>
      </c>
      <c r="AA11" s="2" t="s">
        <v>62</v>
      </c>
      <c r="AB11" s="2" t="s">
        <v>63</v>
      </c>
      <c r="AC11" s="2" t="s">
        <v>64</v>
      </c>
      <c r="AD11" s="2" t="s">
        <v>65</v>
      </c>
      <c r="AE11" s="3" t="str">
        <f>HYPERLINK("https://www.biznes-polska.pl/data/files/127/37/43_ua31_zal.zip?pk=PkEcxggPSQYlYssvPEzLygtZLH1GI5N3&amp;df=20250724&amp;dt=20250724&amp;hh=bfda919c&amp;ido=29909500","załącznik")</f>
        <v>załącznik</v>
      </c>
      <c r="AF11" s="2"/>
    </row>
    <row r="12">
      <c r="A12" s="2" t="s">
        <v>66</v>
      </c>
      <c r="B12" s="3" t="str">
        <f>HYPERLINK("https://www.biznes-polska.pl/przetargi/29909587/?pk=PkEcxggPSQYlYssvPEzLygtZLH1GI5N3&amp;df=20250724&amp;dt=20250724&amp;hh=5423def2&amp;ido=29909587","https://www.biznes-p...")</f>
        <v>https://www.biznes-p...</v>
      </c>
      <c r="C12" s="2" t="s">
        <v>47</v>
      </c>
      <c r="D12" s="2" t="s">
        <v>48</v>
      </c>
      <c r="E12" s="2"/>
      <c r="F12" s="2" t="s">
        <v>67</v>
      </c>
      <c r="G12" s="2" t="s">
        <v>68</v>
      </c>
      <c r="H12" s="2" t="s">
        <v>51</v>
      </c>
      <c r="I12" s="2" t="s">
        <v>69</v>
      </c>
      <c r="J12" s="2"/>
      <c r="K12" s="2"/>
      <c r="L12" s="2" t="s">
        <v>53</v>
      </c>
      <c r="M12" s="2" t="s">
        <v>70</v>
      </c>
      <c r="N12" s="2" t="s">
        <v>71</v>
      </c>
      <c r="O12" s="2" t="s">
        <v>72</v>
      </c>
      <c r="P12" s="2" t="s">
        <v>73</v>
      </c>
      <c r="Q12" s="2"/>
      <c r="R12" s="2" t="s">
        <v>74</v>
      </c>
      <c r="S12" s="2" t="s">
        <v>75</v>
      </c>
      <c r="T12" s="2"/>
      <c r="U12" s="2" t="s">
        <v>60</v>
      </c>
      <c r="V12" s="2"/>
      <c r="W12" s="2"/>
      <c r="X12" s="2"/>
      <c r="Y12" s="2"/>
      <c r="Z12" s="2" t="s">
        <v>76</v>
      </c>
      <c r="AA12" s="2" t="s">
        <v>62</v>
      </c>
      <c r="AB12" s="2" t="s">
        <v>77</v>
      </c>
      <c r="AC12" s="2" t="s">
        <v>78</v>
      </c>
      <c r="AD12" s="2" t="s">
        <v>65</v>
      </c>
      <c r="AE12" s="3" t="str">
        <f>HYPERLINK("https://www.biznes-polska.pl/data/files/176/12/49_ua44_zal.zip?pk=PkEcxggPSQYlYssvPEzLygtZLH1GI5N3&amp;df=20250724&amp;dt=20250724&amp;hh=5423def2&amp;ido=29909587","załącznik")</f>
        <v>załącznik</v>
      </c>
      <c r="AF12" s="2"/>
    </row>
    <row r="13">
      <c r="A13" s="2" t="s">
        <v>79</v>
      </c>
      <c r="B13" s="3" t="str">
        <f>HYPERLINK("https://www.biznes-polska.pl/przetargi/29910323/?pk=PkEcxggPSQYlYssvPEzLygtZLH1GI5N3&amp;df=20250724&amp;dt=20250724&amp;hh=14701e0b&amp;ido=29910323","https://www.biznes-p...")</f>
        <v>https://www.biznes-p...</v>
      </c>
      <c r="C13" s="2" t="s">
        <v>47</v>
      </c>
      <c r="D13" s="2" t="s">
        <v>48</v>
      </c>
      <c r="E13" s="2" t="s">
        <v>80</v>
      </c>
      <c r="F13" s="2" t="s">
        <v>81</v>
      </c>
      <c r="G13" s="2" t="s">
        <v>82</v>
      </c>
      <c r="H13" s="2" t="s">
        <v>83</v>
      </c>
      <c r="I13" s="2" t="s">
        <v>84</v>
      </c>
      <c r="J13" s="2" t="s">
        <v>85</v>
      </c>
      <c r="K13" s="2" t="s">
        <v>86</v>
      </c>
      <c r="L13" s="2" t="s">
        <v>87</v>
      </c>
      <c r="M13" s="2" t="s">
        <v>88</v>
      </c>
      <c r="N13" s="2" t="s">
        <v>89</v>
      </c>
      <c r="O13" s="2" t="s">
        <v>90</v>
      </c>
      <c r="P13" s="2" t="s">
        <v>91</v>
      </c>
      <c r="Q13" s="2"/>
      <c r="R13" s="2" t="s">
        <v>92</v>
      </c>
      <c r="S13" s="2" t="s">
        <v>59</v>
      </c>
      <c r="T13" s="2"/>
      <c r="U13" s="2" t="s">
        <v>93</v>
      </c>
      <c r="V13" s="2"/>
      <c r="W13" s="2"/>
      <c r="X13" s="2" t="s">
        <v>94</v>
      </c>
      <c r="Y13" s="2" t="s">
        <v>95</v>
      </c>
      <c r="Z13" s="2" t="s">
        <v>96</v>
      </c>
      <c r="AA13" s="2" t="s">
        <v>97</v>
      </c>
      <c r="AB13" s="2" t="s">
        <v>98</v>
      </c>
      <c r="AC13" s="2" t="s">
        <v>99</v>
      </c>
      <c r="AD13" s="2" t="s">
        <v>65</v>
      </c>
      <c r="AE13" s="3" t="str">
        <f>HYPERLINK("https://www.biznes-polska.pl/data/files/61/28/156_bk2238512_zalacznik.zip?pk=PkEcxggPSQYlYssvPEzLygtZLH1GI5N3&amp;df=20250724&amp;dt=20250724&amp;hh=14701e0b&amp;ido=29910323","załącznik")</f>
        <v>załącznik</v>
      </c>
      <c r="AF13" s="2" t="s">
        <v>100</v>
      </c>
    </row>
    <row r="14">
      <c r="A14" s="2" t="s">
        <v>101</v>
      </c>
      <c r="B14" s="3" t="str">
        <f>HYPERLINK("https://www.biznes-polska.pl/przetargi/29912597/?pk=PkEcxggPSQYlYssvPEzLygtZLH1GI5N3&amp;df=20250724&amp;dt=20250724&amp;hh=0491cb06&amp;ido=29912597","https://www.biznes-p...")</f>
        <v>https://www.biznes-p...</v>
      </c>
      <c r="C14" s="2" t="s">
        <v>47</v>
      </c>
      <c r="D14" s="2" t="s">
        <v>48</v>
      </c>
      <c r="E14" s="2" t="s">
        <v>102</v>
      </c>
      <c r="F14" s="2" t="s">
        <v>103</v>
      </c>
      <c r="G14" s="2" t="s">
        <v>104</v>
      </c>
      <c r="H14" s="2" t="s">
        <v>105</v>
      </c>
      <c r="I14" s="2" t="s">
        <v>106</v>
      </c>
      <c r="J14" s="2" t="s">
        <v>107</v>
      </c>
      <c r="K14" s="2" t="s">
        <v>108</v>
      </c>
      <c r="L14" s="2" t="s">
        <v>87</v>
      </c>
      <c r="M14" s="2" t="s">
        <v>109</v>
      </c>
      <c r="N14" s="2" t="s">
        <v>110</v>
      </c>
      <c r="O14" s="2"/>
      <c r="P14" s="2" t="s">
        <v>111</v>
      </c>
      <c r="Q14" s="2" t="s">
        <v>112</v>
      </c>
      <c r="R14" s="2" t="s">
        <v>113</v>
      </c>
      <c r="S14" s="2" t="s">
        <v>114</v>
      </c>
      <c r="T14" s="2" t="s">
        <v>115</v>
      </c>
      <c r="U14" s="2" t="s">
        <v>116</v>
      </c>
      <c r="V14" s="2"/>
      <c r="W14" s="2"/>
      <c r="X14" s="2" t="s">
        <v>117</v>
      </c>
      <c r="Y14" s="2"/>
      <c r="Z14" s="2" t="s">
        <v>118</v>
      </c>
      <c r="AA14" s="2" t="s">
        <v>97</v>
      </c>
      <c r="AB14" s="2" t="s">
        <v>119</v>
      </c>
      <c r="AC14" s="2" t="s">
        <v>120</v>
      </c>
      <c r="AD14" s="2" t="s">
        <v>121</v>
      </c>
      <c r="AE14" s="3" t="str">
        <f>HYPERLINK("https://www.biznes-polska.pl/data/files/226/116/112_29912597_zal.zip?pk=PkEcxggPSQYlYssvPEzLygtZLH1GI5N3&amp;df=20250724&amp;dt=20250724&amp;hh=0491cb06&amp;ido=29912597","załącznik")</f>
        <v>załącznik</v>
      </c>
      <c r="AF14" s="2" t="s">
        <v>122</v>
      </c>
    </row>
    <row r="15">
      <c r="A15" s="2" t="s">
        <v>123</v>
      </c>
      <c r="B15" s="3" t="str">
        <f>HYPERLINK("https://www.biznes-polska.pl/przetargi/29914608/?pk=PkEcxggPSQYlYssvPEzLygtZLH1GI5N3&amp;df=20250724&amp;dt=20250724&amp;hh=7d46c565&amp;ido=29914608","https://www.biznes-p...")</f>
        <v>https://www.biznes-p...</v>
      </c>
      <c r="C15" s="2" t="s">
        <v>47</v>
      </c>
      <c r="D15" s="2" t="s">
        <v>48</v>
      </c>
      <c r="E15" s="2" t="s">
        <v>124</v>
      </c>
      <c r="F15" s="2" t="s">
        <v>125</v>
      </c>
      <c r="G15" s="2" t="s">
        <v>126</v>
      </c>
      <c r="H15" s="2" t="s">
        <v>127</v>
      </c>
      <c r="I15" s="2" t="s">
        <v>128</v>
      </c>
      <c r="J15" s="2" t="s">
        <v>107</v>
      </c>
      <c r="K15" s="2" t="s">
        <v>129</v>
      </c>
      <c r="L15" s="2" t="s">
        <v>87</v>
      </c>
      <c r="M15" s="2" t="s">
        <v>130</v>
      </c>
      <c r="N15" s="2" t="s">
        <v>131</v>
      </c>
      <c r="O15" s="2"/>
      <c r="P15" s="2" t="s">
        <v>132</v>
      </c>
      <c r="Q15" s="2" t="s">
        <v>133</v>
      </c>
      <c r="R15" s="2" t="s">
        <v>134</v>
      </c>
      <c r="S15" s="2" t="s">
        <v>135</v>
      </c>
      <c r="T15" s="2" t="s">
        <v>136</v>
      </c>
      <c r="U15" s="2" t="s">
        <v>137</v>
      </c>
      <c r="V15" s="2" t="s">
        <v>138</v>
      </c>
      <c r="W15" s="2"/>
      <c r="X15" s="2" t="s">
        <v>137</v>
      </c>
      <c r="Y15" s="2" t="s">
        <v>137</v>
      </c>
      <c r="Z15" s="2"/>
      <c r="AA15" s="2" t="s">
        <v>97</v>
      </c>
      <c r="AB15" s="2" t="s">
        <v>139</v>
      </c>
      <c r="AC15" s="2" t="s">
        <v>140</v>
      </c>
      <c r="AD15" s="2" t="s">
        <v>141</v>
      </c>
      <c r="AE15" s="3" t="str">
        <f>HYPERLINK("https://www.biznes-polska.pl/data/files/135/188/31_29914608_zal.zip?pk=PkEcxggPSQYlYssvPEzLygtZLH1GI5N3&amp;df=20250724&amp;dt=20250724&amp;hh=7d46c565&amp;ido=29914608","załącznik")</f>
        <v>załącznik</v>
      </c>
      <c r="AF15" s="2" t="s">
        <v>142</v>
      </c>
    </row>
    <row r="16">
      <c r="A16" s="2"/>
    </row>
    <row r="17">
      <c r="A17" s="1" t="s">
        <v>143</v>
      </c>
    </row>
    <row r="18">
      <c r="A18" s="4" t="s">
        <v>14</v>
      </c>
      <c r="B18" s="4" t="s">
        <v>15</v>
      </c>
      <c r="C18" s="4" t="s">
        <v>16</v>
      </c>
      <c r="D18" s="4" t="s">
        <v>19</v>
      </c>
      <c r="E18" s="4" t="s">
        <v>20</v>
      </c>
      <c r="F18" s="4" t="s">
        <v>144</v>
      </c>
      <c r="G18" s="4" t="s">
        <v>23</v>
      </c>
      <c r="H18" s="4" t="s">
        <v>24</v>
      </c>
      <c r="I18" s="4" t="s">
        <v>25</v>
      </c>
      <c r="J18" s="4" t="s">
        <v>41</v>
      </c>
      <c r="K18" s="4" t="s">
        <v>43</v>
      </c>
      <c r="L18" s="4" t="s">
        <v>145</v>
      </c>
      <c r="M18" s="4" t="s">
        <v>146</v>
      </c>
      <c r="N18" s="4" t="s">
        <v>44</v>
      </c>
      <c r="O18" s="4" t="s">
        <v>147</v>
      </c>
      <c r="P18" s="4" t="s">
        <v>148</v>
      </c>
    </row>
    <row r="19">
      <c r="A19" s="2" t="s">
        <v>149</v>
      </c>
      <c r="B19" s="3" t="str">
        <f>HYPERLINK("https://www.biznes-polska.pl/wyniki-przetargow/29910659/?pk=PkEcxggPSQYlYssvPEzLygtZLH1GI5N3&amp;df=20250724&amp;dt=20250724&amp;hh=7dfe22ed&amp;ido=29910659","https://www.biznes-p...")</f>
        <v>https://www.biznes-p...</v>
      </c>
      <c r="C19" s="2" t="s">
        <v>47</v>
      </c>
      <c r="D19" s="2" t="s">
        <v>150</v>
      </c>
      <c r="E19" s="2" t="s">
        <v>151</v>
      </c>
      <c r="F19" s="2" t="s">
        <v>152</v>
      </c>
      <c r="G19" s="2" t="s">
        <v>153</v>
      </c>
      <c r="H19" s="2" t="s">
        <v>154</v>
      </c>
      <c r="I19" s="2" t="s">
        <v>87</v>
      </c>
      <c r="J19" s="2" t="s">
        <v>155</v>
      </c>
      <c r="K19" s="2" t="s">
        <v>65</v>
      </c>
      <c r="L19" s="2" t="s">
        <v>156</v>
      </c>
      <c r="M19" s="2" t="s">
        <v>157</v>
      </c>
      <c r="N19" s="3" t="str">
        <f>HYPERLINK("https://www.biznes-polska.pl/data/files/24/176/29910659-29312882_w_zalacznik.zip?pk=PkEcxggPSQYlYssvPEzLygtZLH1GI5N3&amp;df=20250724&amp;dt=20250724&amp;hh=7dfe22ed&amp;ido=29910659","Protokół otwarcia ofert")</f>
        <v>Protokół otwarcia ofert</v>
      </c>
      <c r="O19" s="2" t="s">
        <v>158</v>
      </c>
      <c r="P19" s="3" t="str">
        <f>HYPERLINK("https://www.biznes-polska.pl/ogloszenie/29312882/?pk=PkEcxggPSQYlYssvPEzLygtZLH1GI5N3&amp;df=20250724&amp;dt=20250724&amp;hh=4156ec04&amp;ido=29312882","https://www.biznes-p...")</f>
        <v>https://www.biznes-p...</v>
      </c>
    </row>
    <row r="20">
      <c r="A20" s="2" t="s">
        <v>159</v>
      </c>
      <c r="B20" s="3" t="str">
        <f>HYPERLINK("https://www.biznes-polska.pl/wyniki-przetargow/29911358/?pk=PkEcxggPSQYlYssvPEzLygtZLH1GI5N3&amp;df=20250724&amp;dt=20250724&amp;hh=9c0af6fa&amp;ido=29911358","https://www.biznes-p...")</f>
        <v>https://www.biznes-p...</v>
      </c>
      <c r="C20" s="2" t="s">
        <v>47</v>
      </c>
      <c r="D20" s="2" t="s">
        <v>160</v>
      </c>
      <c r="E20" s="2" t="s">
        <v>161</v>
      </c>
      <c r="F20" s="2" t="s">
        <v>162</v>
      </c>
      <c r="G20" s="2" t="s">
        <v>107</v>
      </c>
      <c r="H20" s="2" t="s">
        <v>108</v>
      </c>
      <c r="I20" s="2" t="s">
        <v>87</v>
      </c>
      <c r="J20" s="2" t="s">
        <v>163</v>
      </c>
      <c r="K20" s="2" t="s">
        <v>164</v>
      </c>
      <c r="L20" s="2"/>
      <c r="M20" s="2" t="s">
        <v>165</v>
      </c>
      <c r="N20" s="3" t="str">
        <f>HYPERLINK("https://www.biznes-polska.pl/data/files/224/225/29911358-29722915_w_zalacznik.zip?pk=PkEcxggPSQYlYssvPEzLygtZLH1GI5N3&amp;df=20250724&amp;dt=20250724&amp;hh=9c0af6fa&amp;ido=29911358","Protokół otwarcia ofert")</f>
        <v>Protokół otwarcia ofert</v>
      </c>
      <c r="O20" s="2" t="s">
        <v>166</v>
      </c>
      <c r="P20" s="3" t="str">
        <f>HYPERLINK("https://www.biznes-polska.pl/ogloszenie/29722915/?pk=PkEcxggPSQYlYssvPEzLygtZLH1GI5N3&amp;df=20250724&amp;dt=20250724&amp;hh=88be7b8e&amp;ido=29722915","https://www.biznes-p...")</f>
        <v>https://www.biznes-p...</v>
      </c>
    </row>
    <row r="21" ht="15.75" customHeight="1">
      <c r="A21" s="2"/>
    </row>
    <row r="22" ht="15.75" customHeight="1">
      <c r="A22" s="1" t="s">
        <v>167</v>
      </c>
    </row>
    <row r="23" ht="15.75" customHeight="1">
      <c r="A23" s="4" t="s">
        <v>14</v>
      </c>
      <c r="B23" s="4" t="s">
        <v>15</v>
      </c>
      <c r="C23" s="4" t="s">
        <v>19</v>
      </c>
      <c r="D23" s="4" t="s">
        <v>168</v>
      </c>
    </row>
    <row r="24" ht="15.75" customHeight="1">
      <c r="A24" s="2" t="s">
        <v>169</v>
      </c>
      <c r="B24" s="3" t="str">
        <f>HYPERLINK("https://www.biznes-polska.pl/przetargi/29880494/?pk=PkEcxggPSQYlYssvPEzLygtZLH1GI5N3&amp;df=20250724&amp;dt=20250724&amp;hh=f645516f&amp;ido=29880494#notatka-29913812","https://www.biznes-p...")</f>
        <v>https://www.biznes-p...</v>
      </c>
      <c r="C24" s="2" t="s">
        <v>170</v>
      </c>
      <c r="D24" s="2" t="s">
        <v>171</v>
      </c>
    </row>
    <row r="25" ht="15.75" customHeight="1">
      <c r="A25" s="2" t="s">
        <v>172</v>
      </c>
      <c r="B25" s="3" t="str">
        <f>HYPERLINK("https://www.biznes-polska.pl/przetargi/29711053/?pk=PkEcxggPSQYlYssvPEzLygtZLH1GI5N3&amp;df=20250724&amp;dt=20250724&amp;hh=7350e499&amp;ido=29711053#notatka-29911778","https://www.biznes-p...")</f>
        <v>https://www.biznes-p...</v>
      </c>
      <c r="C25" s="2" t="s">
        <v>173</v>
      </c>
      <c r="D25" s="2" t="s">
        <v>174</v>
      </c>
    </row>
    <row r="26" ht="15.75" customHeight="1">
      <c r="A26" s="2"/>
    </row>
    <row r="27" ht="15.75" customHeight="1">
      <c r="A27" s="1" t="s">
        <v>175</v>
      </c>
    </row>
    <row r="28" ht="15.75" customHeight="1">
      <c r="A28" s="4" t="s">
        <v>14</v>
      </c>
      <c r="B28" s="4" t="s">
        <v>15</v>
      </c>
      <c r="C28" s="4" t="s">
        <v>19</v>
      </c>
      <c r="D28" s="4" t="s">
        <v>168</v>
      </c>
    </row>
    <row r="29" ht="15.75" customHeight="1">
      <c r="A29" s="2"/>
    </row>
    <row r="30" ht="15.75" customHeight="1">
      <c r="A30" s="1" t="s">
        <v>176</v>
      </c>
    </row>
    <row r="31" ht="15.75" customHeight="1">
      <c r="A31" s="4" t="s">
        <v>14</v>
      </c>
      <c r="B31" s="4" t="s">
        <v>15</v>
      </c>
      <c r="C31" s="4" t="s">
        <v>19</v>
      </c>
    </row>
    <row r="32" ht="15.75" customHeight="1">
      <c r="A32" s="2" t="s">
        <v>172</v>
      </c>
      <c r="B32" s="3" t="str">
        <f>HYPERLINK("https://www.biznes-polska.pl/przetargi/29711053/?pk=PkEcxggPSQYlYssvPEzLygtZLH1GI5N3&amp;df=20250724&amp;dt=20250724&amp;hh=7350e499&amp;ido=29711053","https://www.biznes-p...")</f>
        <v>https://www.biznes-p...</v>
      </c>
      <c r="C32" s="2" t="s">
        <v>173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